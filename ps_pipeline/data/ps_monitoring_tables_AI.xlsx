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stockton/Downloads/"/>
    </mc:Choice>
  </mc:AlternateContent>
  <xr:revisionPtr revIDLastSave="0" documentId="13_ncr:1_{CCD49041-0CA7-3540-9043-0DC28B1D68B7}" xr6:coauthVersionLast="47" xr6:coauthVersionMax="47" xr10:uidLastSave="{00000000-0000-0000-0000-000000000000}"/>
  <bookViews>
    <workbookView xWindow="0" yWindow="620" windowWidth="28800" windowHeight="17380" xr2:uid="{512AEC6B-9490-4C46-9F42-52BBC675E9E4}"/>
  </bookViews>
  <sheets>
    <sheet name="interactions" sheetId="2" r:id="rId1"/>
    <sheet name="rate spatial" sheetId="3" r:id="rId2"/>
    <sheet name="ocean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<sst xmlns="http://schemas.openxmlformats.org/spreadsheetml/2006/main" count="121" uniqueCount="70">
  <si>
    <t>Species</t>
  </si>
  <si>
    <t>Black-footed albatross</t>
  </si>
  <si>
    <t>Chlorophyll-a</t>
  </si>
  <si>
    <t>Distance to seamount</t>
  </si>
  <si>
    <t>Sea-level anomaly</t>
  </si>
  <si>
    <t>SST</t>
  </si>
  <si>
    <t>Laysan albatross</t>
  </si>
  <si>
    <t>Oceanic whitetip shark</t>
  </si>
  <si>
    <t>Shortfin mako shark</t>
  </si>
  <si>
    <t>Leatherback turtle</t>
  </si>
  <si>
    <t>Loggerhead turtle</t>
  </si>
  <si>
    <t>Current</t>
  </si>
  <si>
    <t>Mean</t>
  </si>
  <si>
    <t>Median</t>
  </si>
  <si>
    <t>P10</t>
  </si>
  <si>
    <t>P90</t>
  </si>
  <si>
    <t>Percentile</t>
  </si>
  <si>
    <t>Trend</t>
  </si>
  <si>
    <t>Flag</t>
  </si>
  <si>
    <t>Albatross, Black-footed</t>
  </si>
  <si>
    <t>Increasing</t>
  </si>
  <si>
    <t>Typical</t>
  </si>
  <si>
    <t>Albatross, Laysan</t>
  </si>
  <si>
    <t>Shark, Oceanic White-Tip</t>
  </si>
  <si>
    <t>Shark, Shortfin Mako</t>
  </si>
  <si>
    <t>Turtle, Leatherback</t>
  </si>
  <si>
    <t>Turtle, Loggerhead</t>
  </si>
  <si>
    <t>High</t>
  </si>
  <si>
    <t>Poisson</t>
  </si>
  <si>
    <t>Preferred model</t>
  </si>
  <si>
    <t>Decreasing</t>
  </si>
  <si>
    <t>NB fitting error; Poisson fallback</t>
  </si>
  <si>
    <t>Negative binomial</t>
  </si>
  <si>
    <t>Current Interactions</t>
  </si>
  <si>
    <t>Current Rate</t>
  </si>
  <si>
    <t>Historical Mean Rate</t>
  </si>
  <si>
    <t>Historical Median Rate</t>
  </si>
  <si>
    <t>Historical P90 Rate</t>
  </si>
  <si>
    <t>Rate Percentile</t>
  </si>
  <si>
    <t>Rate Robust Anomaly</t>
  </si>
  <si>
    <t>Annual Percent Change</t>
  </si>
  <si>
    <t>Trend Model Used</t>
  </si>
  <si>
    <t>Trend Model Flag</t>
  </si>
  <si>
    <t>Trend Years</t>
  </si>
  <si>
    <t>Historical Years</t>
  </si>
  <si>
    <t>Historical Centroid Lon</t>
  </si>
  <si>
    <t>Historical Centroid Lat</t>
  </si>
  <si>
    <t>Current Centroid Lon</t>
  </si>
  <si>
    <t>Current Centroid Lat</t>
  </si>
  <si>
    <t>Centroid Shift km</t>
  </si>
  <si>
    <t>Pct Interactions Outside 90</t>
  </si>
  <si>
    <t>Current Interaction Environment</t>
  </si>
  <si>
    <t>Historical Interaction Median</t>
  </si>
  <si>
    <t>Absolute Anomaly</t>
  </si>
  <si>
    <t>Current Fleet Environment</t>
  </si>
  <si>
    <t>Current Selection Anomaly</t>
  </si>
  <si>
    <t>Historical Selection Median</t>
  </si>
  <si>
    <t>Selection Shift</t>
  </si>
  <si>
    <t>Interaction Percentile</t>
  </si>
  <si>
    <t>Selection Percentile</t>
  </si>
  <si>
    <t>Trend Slope</t>
  </si>
  <si>
    <t>Robust Anomaly</t>
  </si>
  <si>
    <t>N Years</t>
  </si>
  <si>
    <t>Spatial &amp; Ocean Explanation</t>
  </si>
  <si>
    <t>Typical (+0.31): the rate is only moderately elevated (rate anomaly +0.56; 75th percentile). The centroid moved 133 km with 0% outside the historical 90% area. High chlorophyll-a and distance-to-seamount percentiles (both 94.7th), plus cooler SST (10.5th), indicate unusual habitat use, but not enough to produce an unusual interaction count.</t>
  </si>
  <si>
    <t>Upper-typical (+0.93): the elevated count agrees with a high rate anomaly (+0.95; 95th percentile). A 283 km centroid shift remains entirely inside the historical 90% area. High chlorophyll-a (89.5th) and distance-to-seamount (94.7th), with cooler SST (21.1st), provide environmental context for the increase.</t>
  </si>
  <si>
    <t>Low but typical (-1.10): the depressed count is consistent with a low rate anomaly (-0.99), a 20th-percentile rate, and a 30.7% annual decline. The 766 km centroid shift is the largest of all species, although 0% falls outside the broad historical 90% area. Very high sea-level anomaly (94.4th) and low SST percentile (11.1st) mark a substantially different interaction environment.</t>
  </si>
  <si>
    <t>Typical (+0.58): interactions are above the historical median, but the rate anomaly is modest (+0.33; 55th percentile) and the recent rate trend is decreasing (-16.5% annually). The centroid shifted 311 km and 5.9% of interactions are outside the historical 90% area. High chlorophyll-a (90th) and distance-to-seamount (95th), with cooler SST (15th), suggest redistribution rather than a strong abundance anomaly.</t>
  </si>
  <si>
    <t>Upper-typical (+1.01): the elevated count aligns with a positive rate anomaly (+0.65), a 65th-percentile rate, and a 7.1% annual increase. The centroid moved 178 km and 12.5% of interactions lie outside the historical 90% area—the largest outside share. Ocean signals are mixed to moderate, so spatial expansion and rising rate provide the stronger explanation.</t>
  </si>
  <si>
    <t>High (+3.24): the exceptional count is supported by a strong rate anomaly (+1.70), an 85th-percentile rate, and 5.1% annual growth. The centroid shift is only 61 km—the smallest—so the spike is not mainly a large relocation effect; 5.4% lies outside the historical 90% area. High chlorophyll-a (88.9th), greater distance to seamounts (83.3rd), and cooler SST (22.2nd) characterize the conditions accompanying the high interactions.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</si>
</sst>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0061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8FA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D0D7DE"/>
      </left>
      <right/>
      <top style="thin">
        <color indexed="64"/>
      </top>
      <bottom/>
      <diagonal/>
    </border>
    <border>
      <left style="thin">
        <color rgb="FFD0D7DE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8" fillId="4" borderId="0" xfId="8"/>
    <xf numFmtId="2" fontId="8" fillId="4" borderId="0" xfId="8" applyNumberFormat="1"/>
    <xf numFmtId="0" fontId="6" fillId="2" borderId="0" xfId="6"/>
    <xf numFmtId="2" fontId="6" fillId="2" borderId="0" xfId="6" applyNumberFormat="1"/>
    <xf numFmtId="164" fontId="8" fillId="4" borderId="0" xfId="8" applyNumberFormat="1"/>
    <xf numFmtId="164" fontId="6" fillId="2" borderId="0" xfId="6" applyNumberFormat="1"/>
    <xf numFmtId="0" fontId="16" fillId="0" borderId="10" xfId="0" applyFont="1" applyBorder="1" applyAlignment="1">
      <alignment wrapText="1"/>
    </xf>
    <xf numFmtId="0" fontId="16" fillId="0" borderId="0" xfId="0" applyFont="1" applyBorder="1" applyAlignment="1">
      <alignment vertical="top" wrapText="1"/>
    </xf>
    <xf numFmtId="0" fontId="18" fillId="33" borderId="11" xfId="0" applyFont="1" applyFill="1" applyBorder="1" applyAlignment="1">
      <alignment vertical="top" wrapText="1"/>
    </xf>
    <xf numFmtId="0" fontId="18" fillId="33" borderId="12" xfId="0" applyFont="1" applyFill="1" applyBorder="1" applyAlignment="1">
      <alignment vertical="top" wrapText="1"/>
    </xf>
    <xf numFmtId="0" fontId="19" fillId="33" borderId="12" xfId="8" applyFont="1" applyFill="1" applyBorder="1" applyAlignment="1">
      <alignment vertical="top" wrapText="1"/>
    </xf>
    <xf numFmtId="0" fontId="20" fillId="33" borderId="12" xfId="6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37CB-DF10-9D4A-8276-1B24B78CF2B0}">
  <dimension ref="A1:M7"/>
  <sheetViews>
    <sheetView tabSelected="1" zoomScale="170" zoomScaleNormal="170" workbookViewId="0">
      <pane xSplit="1" ySplit="1" topLeftCell="B2" activePane="bottomRight" state="frozenSplit"/>
      <selection activeCell="B4" sqref="B4"/>
      <selection pane="topRight" activeCell="E1" sqref="E1"/>
      <selection pane="bottomLeft" activeCell="A2" sqref="A2"/>
      <selection pane="bottomRight" activeCell="G2" sqref="G2"/>
    </sheetView>
  </sheetViews>
  <sheetFormatPr baseColWidth="10" defaultRowHeight="16" x14ac:dyDescent="0.2"/>
  <cols>
    <col min="1" max="1" width="22.1640625" bestFit="1" customWidth="1"/>
    <col min="2" max="2" width="7.1640625" bestFit="1" customWidth="1"/>
    <col min="3" max="3" width="5.83203125" bestFit="1" customWidth="1"/>
    <col min="4" max="4" width="7.33203125" bestFit="1" customWidth="1"/>
    <col min="5" max="5" width="6.1640625" bestFit="1" customWidth="1"/>
    <col min="6" max="6" width="5.1640625" bestFit="1" customWidth="1"/>
    <col min="7" max="7" width="16.6640625" customWidth="1"/>
    <col min="8" max="8" width="8.5" bestFit="1" customWidth="1"/>
    <col min="9" max="9" width="5.6640625" customWidth="1"/>
    <col min="10" max="10" width="6.1640625" bestFit="1" customWidth="1"/>
    <col min="11" max="11" width="9.5" bestFit="1" customWidth="1"/>
    <col min="12" max="12" width="6.83203125" bestFit="1" customWidth="1"/>
    <col min="13" max="13" width="33.33203125" customWidth="1"/>
  </cols>
  <sheetData>
    <row r="1" spans="1:13" s="2" customFormat="1" ht="34" x14ac:dyDescent="0.2">
      <c r="A1" s="10" t="s">
        <v>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61</v>
      </c>
      <c r="I1" s="10" t="s">
        <v>62</v>
      </c>
      <c r="J1" s="10" t="s">
        <v>60</v>
      </c>
      <c r="K1" s="10" t="s">
        <v>17</v>
      </c>
      <c r="L1" s="10" t="s">
        <v>18</v>
      </c>
      <c r="M1" s="11" t="s">
        <v>63</v>
      </c>
    </row>
    <row r="2" spans="1:13" ht="120" x14ac:dyDescent="0.2">
      <c r="A2" t="s">
        <v>19</v>
      </c>
      <c r="B2">
        <v>34</v>
      </c>
      <c r="C2" s="3">
        <v>26.789473684210499</v>
      </c>
      <c r="D2">
        <v>28</v>
      </c>
      <c r="E2">
        <v>5.8</v>
      </c>
      <c r="F2">
        <v>46.2</v>
      </c>
      <c r="G2" s="3">
        <v>63.157894736842103</v>
      </c>
      <c r="H2" s="1">
        <v>0.31130342745073603</v>
      </c>
      <c r="I2">
        <v>19</v>
      </c>
      <c r="J2">
        <v>7.5999999999992998</v>
      </c>
      <c r="K2" t="s">
        <v>20</v>
      </c>
      <c r="L2" t="s">
        <v>21</v>
      </c>
      <c r="M2" s="12" t="s">
        <v>64</v>
      </c>
    </row>
    <row r="3" spans="1:13" ht="105" x14ac:dyDescent="0.2">
      <c r="A3" t="s">
        <v>22</v>
      </c>
      <c r="B3">
        <v>54</v>
      </c>
      <c r="C3" s="3">
        <v>33.631578947368403</v>
      </c>
      <c r="D3">
        <v>36</v>
      </c>
      <c r="E3">
        <v>7.6</v>
      </c>
      <c r="F3">
        <v>61.2</v>
      </c>
      <c r="G3" s="3">
        <v>84.210526315789494</v>
      </c>
      <c r="H3" s="1">
        <v>0.93391028235220896</v>
      </c>
      <c r="I3">
        <v>19</v>
      </c>
      <c r="J3">
        <v>1.4000000000000099</v>
      </c>
      <c r="K3" t="s">
        <v>20</v>
      </c>
      <c r="L3" t="s">
        <v>21</v>
      </c>
      <c r="M3" s="13" t="s">
        <v>65</v>
      </c>
    </row>
    <row r="4" spans="1:13" s="4" customFormat="1" ht="120" x14ac:dyDescent="0.2">
      <c r="A4" s="4" t="s">
        <v>23</v>
      </c>
      <c r="B4" s="4">
        <v>3</v>
      </c>
      <c r="C4" s="8">
        <v>49.789473684210499</v>
      </c>
      <c r="D4" s="4">
        <v>29</v>
      </c>
      <c r="E4" s="4">
        <v>1</v>
      </c>
      <c r="F4" s="4">
        <v>79.8</v>
      </c>
      <c r="G4" s="8">
        <v>15.789473684210501</v>
      </c>
      <c r="H4" s="5">
        <v>-1.0960474841494701</v>
      </c>
      <c r="I4" s="4">
        <v>19</v>
      </c>
      <c r="J4" s="4">
        <v>6.6999999999998598</v>
      </c>
      <c r="K4" s="4" t="s">
        <v>20</v>
      </c>
      <c r="L4" s="4" t="s">
        <v>21</v>
      </c>
      <c r="M4" s="14" t="s">
        <v>66</v>
      </c>
    </row>
    <row r="5" spans="1:13" ht="150" x14ac:dyDescent="0.2">
      <c r="A5" t="s">
        <v>24</v>
      </c>
      <c r="B5">
        <v>1121</v>
      </c>
      <c r="C5" s="3">
        <v>994.57894736842104</v>
      </c>
      <c r="D5">
        <v>970</v>
      </c>
      <c r="E5">
        <v>618.6</v>
      </c>
      <c r="F5">
        <v>1377</v>
      </c>
      <c r="G5" s="3">
        <v>68.421052631579002</v>
      </c>
      <c r="H5" s="1">
        <v>0.57868241296003298</v>
      </c>
      <c r="I5">
        <v>19</v>
      </c>
      <c r="J5">
        <v>149.1</v>
      </c>
      <c r="K5" t="s">
        <v>20</v>
      </c>
      <c r="L5" t="s">
        <v>21</v>
      </c>
      <c r="M5" s="13" t="s">
        <v>67</v>
      </c>
    </row>
    <row r="6" spans="1:13" ht="120" x14ac:dyDescent="0.2">
      <c r="A6" t="s">
        <v>25</v>
      </c>
      <c r="B6">
        <v>9</v>
      </c>
      <c r="C6" s="3">
        <v>6.7894736842105301</v>
      </c>
      <c r="D6">
        <v>6</v>
      </c>
      <c r="E6">
        <v>2</v>
      </c>
      <c r="F6">
        <v>13</v>
      </c>
      <c r="G6" s="3">
        <v>84.210526315789494</v>
      </c>
      <c r="H6" s="1">
        <v>1.01173613921489</v>
      </c>
      <c r="I6">
        <v>19</v>
      </c>
      <c r="J6">
        <v>2.99999999999971</v>
      </c>
      <c r="K6" t="s">
        <v>20</v>
      </c>
      <c r="L6" t="s">
        <v>21</v>
      </c>
      <c r="M6" s="13" t="s">
        <v>68</v>
      </c>
    </row>
    <row r="7" spans="1:13" s="6" customFormat="1" ht="150" x14ac:dyDescent="0.2">
      <c r="A7" s="6" t="s">
        <v>26</v>
      </c>
      <c r="B7" s="6">
        <v>39</v>
      </c>
      <c r="C7" s="9">
        <v>15.526315789473699</v>
      </c>
      <c r="D7" s="6">
        <v>15</v>
      </c>
      <c r="E7" s="6">
        <v>4.5999999999999996</v>
      </c>
      <c r="F7" s="6">
        <v>26</v>
      </c>
      <c r="G7" s="9">
        <v>94.736842105263193</v>
      </c>
      <c r="H7" s="7">
        <v>3.2375556454876602</v>
      </c>
      <c r="I7" s="6">
        <v>19</v>
      </c>
      <c r="J7" s="6">
        <v>6.5999999999990804</v>
      </c>
      <c r="K7" s="6" t="s">
        <v>20</v>
      </c>
      <c r="L7" s="6" t="s">
        <v>27</v>
      </c>
      <c r="M7" s="15" t="s">
        <v>69</v>
      </c>
    </row>
  </sheetData>
  <conditionalFormatting sqref="G2:G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{91AAD1D0-3905-CE47-98ED-0D646C70B738}</x14:id>
        </ext>
      </extLst>
    </cfRule>
  </conditionalFormatting>
  <conditionalFormatting sqref="H2:H7">
    <cfRule type="colorScale" priority="1">
      <colorScale>
        <cfvo type="num" val="-2"/>
        <cfvo type="num" val="0"/>
        <cfvo type="num" val="2"/>
        <color rgb="FF0070C0"/>
        <color theme="0"/>
        <color rgb="FFFF0000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AAD1D0-3905-CE47-98ED-0D646C70B7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5226-155B-534C-8201-2DD3F7D49203}">
  <dimension ref="A1:T7"/>
  <sheetViews>
    <sheetView zoomScale="210" zoomScaleNormal="210" workbookViewId="0">
      <pane xSplit="1" ySplit="1" topLeftCell="O2" activePane="bottomRight" state="frozenSplit"/>
      <selection pane="topRight" activeCell="E1" sqref="E1"/>
      <selection pane="bottomLeft" activeCell="A7" sqref="A7"/>
      <selection pane="bottomRight" activeCell="C3" sqref="C3"/>
    </sheetView>
  </sheetViews>
  <sheetFormatPr baseColWidth="10" defaultRowHeight="16" x14ac:dyDescent="0.2"/>
  <cols>
    <col min="1" max="1" width="21.5" customWidth="1"/>
    <col min="2" max="2" width="11.6640625" customWidth="1"/>
    <col min="3" max="3" width="9.1640625" customWidth="1"/>
    <col min="4" max="4" width="8.83203125" customWidth="1"/>
    <col min="6" max="6" width="9" customWidth="1"/>
    <col min="7" max="7" width="9.83203125" customWidth="1"/>
    <col min="8" max="8" width="8.6640625" customWidth="1"/>
    <col min="9" max="9" width="10" customWidth="1"/>
    <col min="11" max="11" width="18.5" customWidth="1"/>
    <col min="12" max="12" width="6.6640625" customWidth="1"/>
    <col min="16" max="16" width="9.5" customWidth="1"/>
  </cols>
  <sheetData>
    <row r="1" spans="1:20" s="2" customFormat="1" ht="60" customHeight="1" x14ac:dyDescent="0.2">
      <c r="A1" s="2" t="s">
        <v>0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17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50</v>
      </c>
    </row>
    <row r="2" spans="1:20" x14ac:dyDescent="0.2">
      <c r="A2" t="s">
        <v>1</v>
      </c>
      <c r="B2">
        <v>37</v>
      </c>
      <c r="C2" s="1">
        <v>3.1730078227506398E-2</v>
      </c>
      <c r="D2" s="1">
        <v>2.3336586511741302E-2</v>
      </c>
      <c r="E2" s="1">
        <v>2.0442630819848699E-2</v>
      </c>
      <c r="F2" s="1">
        <v>5.0267432378579099E-2</v>
      </c>
      <c r="G2">
        <v>75</v>
      </c>
      <c r="H2" s="1">
        <v>0.56372175533731705</v>
      </c>
      <c r="I2" s="1">
        <v>0.14472344406892801</v>
      </c>
      <c r="J2" t="s">
        <v>28</v>
      </c>
      <c r="K2" t="s">
        <v>29</v>
      </c>
      <c r="L2">
        <v>5</v>
      </c>
      <c r="M2" t="s">
        <v>20</v>
      </c>
      <c r="N2">
        <v>20</v>
      </c>
      <c r="O2" s="1">
        <v>-157.69244844021699</v>
      </c>
      <c r="P2" s="1">
        <v>30.192274443353</v>
      </c>
      <c r="Q2" s="1">
        <v>-157.55688737422301</v>
      </c>
      <c r="R2" s="1">
        <v>31.385823648648699</v>
      </c>
      <c r="S2" s="1">
        <v>133.34698392220201</v>
      </c>
      <c r="T2" s="1">
        <v>0</v>
      </c>
    </row>
    <row r="3" spans="1:20" x14ac:dyDescent="0.2">
      <c r="A3" t="s">
        <v>6</v>
      </c>
      <c r="B3">
        <v>54</v>
      </c>
      <c r="C3" s="1">
        <v>4.6308762818522801E-2</v>
      </c>
      <c r="D3" s="1">
        <v>2.6592881244341799E-2</v>
      </c>
      <c r="E3" s="1">
        <v>2.9997856891082999E-2</v>
      </c>
      <c r="F3" s="1">
        <v>4.2262740520367999E-2</v>
      </c>
      <c r="G3">
        <v>95</v>
      </c>
      <c r="H3" s="1">
        <v>0.94504290763578702</v>
      </c>
      <c r="I3" s="1">
        <v>12.184653791162001</v>
      </c>
      <c r="J3" t="s">
        <v>28</v>
      </c>
      <c r="K3" t="s">
        <v>29</v>
      </c>
      <c r="L3">
        <v>5</v>
      </c>
      <c r="M3" t="s">
        <v>20</v>
      </c>
      <c r="N3">
        <v>20</v>
      </c>
      <c r="O3" s="1">
        <v>-163.32961924683801</v>
      </c>
      <c r="P3" s="1">
        <v>29.7553338810642</v>
      </c>
      <c r="Q3" s="1">
        <v>-160.80837778275199</v>
      </c>
      <c r="R3" s="1">
        <v>31.085500462963001</v>
      </c>
      <c r="S3" s="1">
        <v>283.397973434731</v>
      </c>
      <c r="T3" s="1">
        <v>0</v>
      </c>
    </row>
    <row r="4" spans="1:20" s="4" customFormat="1" x14ac:dyDescent="0.2">
      <c r="A4" s="4" t="s">
        <v>7</v>
      </c>
      <c r="B4" s="4">
        <v>3</v>
      </c>
      <c r="C4" s="5">
        <v>2.5727090454734898E-3</v>
      </c>
      <c r="D4" s="5">
        <v>3.7847060996514401E-2</v>
      </c>
      <c r="E4" s="5">
        <v>2.5910468215282201E-2</v>
      </c>
      <c r="F4" s="5">
        <v>5.4125174534160103E-2</v>
      </c>
      <c r="G4" s="4">
        <v>20</v>
      </c>
      <c r="H4" s="5">
        <v>-0.98824745289485605</v>
      </c>
      <c r="I4" s="5">
        <v>-30.747570443867399</v>
      </c>
      <c r="J4" s="4" t="s">
        <v>28</v>
      </c>
      <c r="K4" s="4" t="s">
        <v>29</v>
      </c>
      <c r="L4" s="4">
        <v>5</v>
      </c>
      <c r="M4" s="4" t="s">
        <v>30</v>
      </c>
      <c r="N4" s="4">
        <v>20</v>
      </c>
      <c r="O4" s="5">
        <v>-165.32060912459801</v>
      </c>
      <c r="P4" s="5">
        <v>25.8229559428285</v>
      </c>
      <c r="Q4" s="5">
        <v>-157.758307492966</v>
      </c>
      <c r="R4" s="5">
        <v>24.946941666666699</v>
      </c>
      <c r="S4" s="5">
        <v>765.80741558027205</v>
      </c>
      <c r="T4" s="5">
        <v>0</v>
      </c>
    </row>
    <row r="5" spans="1:20" x14ac:dyDescent="0.2">
      <c r="A5" t="s">
        <v>8</v>
      </c>
      <c r="B5">
        <v>1172</v>
      </c>
      <c r="C5" s="1">
        <v>1.00507166709831</v>
      </c>
      <c r="D5" s="1">
        <v>1.0231385328651299</v>
      </c>
      <c r="E5" s="1">
        <v>0.918558829193447</v>
      </c>
      <c r="F5" s="1">
        <v>1.27126082891335</v>
      </c>
      <c r="G5">
        <v>55</v>
      </c>
      <c r="H5" s="1">
        <v>0.32897887489809802</v>
      </c>
      <c r="I5" s="1">
        <v>-16.515404211312401</v>
      </c>
      <c r="J5" t="s">
        <v>28</v>
      </c>
      <c r="K5" t="s">
        <v>29</v>
      </c>
      <c r="L5">
        <v>5</v>
      </c>
      <c r="M5" t="s">
        <v>30</v>
      </c>
      <c r="N5">
        <v>20</v>
      </c>
      <c r="O5" s="1">
        <v>-147.86579743898301</v>
      </c>
      <c r="P5" s="1">
        <v>32.916744098993803</v>
      </c>
      <c r="Q5" s="1">
        <v>-151.198659735956</v>
      </c>
      <c r="R5" s="1">
        <v>32.9588955773606</v>
      </c>
      <c r="S5" s="1">
        <v>311.05074126829402</v>
      </c>
      <c r="T5" s="1">
        <v>5.8873720136518797</v>
      </c>
    </row>
    <row r="6" spans="1:20" x14ac:dyDescent="0.2">
      <c r="A6" t="s">
        <v>9</v>
      </c>
      <c r="B6">
        <v>8</v>
      </c>
      <c r="C6" s="1">
        <v>6.86055745459597E-3</v>
      </c>
      <c r="D6" s="1">
        <v>2.4840696221135002E-2</v>
      </c>
      <c r="E6" s="1">
        <v>4.9448467851101801E-3</v>
      </c>
      <c r="F6" s="1">
        <v>1.1046691531284E-2</v>
      </c>
      <c r="G6">
        <v>65</v>
      </c>
      <c r="H6" s="1">
        <v>0.64640516712580298</v>
      </c>
      <c r="I6" s="1">
        <v>7.12787837255462</v>
      </c>
      <c r="J6" t="s">
        <v>28</v>
      </c>
      <c r="K6" t="s">
        <v>31</v>
      </c>
      <c r="L6">
        <v>10</v>
      </c>
      <c r="M6" t="s">
        <v>20</v>
      </c>
      <c r="N6">
        <v>20</v>
      </c>
      <c r="O6" s="1">
        <v>-153.51826771459301</v>
      </c>
      <c r="P6" s="1">
        <v>31.8598252544529</v>
      </c>
      <c r="Q6" s="1">
        <v>-155.40562185368401</v>
      </c>
      <c r="R6" s="1">
        <v>31.795043750000001</v>
      </c>
      <c r="S6" s="1">
        <v>178.452509577776</v>
      </c>
      <c r="T6" s="1">
        <v>12.5</v>
      </c>
    </row>
    <row r="7" spans="1:20" s="6" customFormat="1" x14ac:dyDescent="0.2">
      <c r="A7" s="6" t="s">
        <v>10</v>
      </c>
      <c r="B7" s="6">
        <v>37</v>
      </c>
      <c r="C7" s="7">
        <v>3.1730078227506398E-2</v>
      </c>
      <c r="D7" s="7">
        <v>1.7292289181089101E-2</v>
      </c>
      <c r="E7" s="7">
        <v>1.0639144215492301E-2</v>
      </c>
      <c r="F7" s="7">
        <v>4.3264184758059002E-2</v>
      </c>
      <c r="G7" s="6">
        <v>85</v>
      </c>
      <c r="H7" s="7">
        <v>1.6952398769986099</v>
      </c>
      <c r="I7" s="7">
        <v>5.1116369161115598</v>
      </c>
      <c r="J7" s="6" t="s">
        <v>32</v>
      </c>
      <c r="K7" s="6" t="s">
        <v>29</v>
      </c>
      <c r="L7" s="6">
        <v>10</v>
      </c>
      <c r="M7" s="6" t="s">
        <v>20</v>
      </c>
      <c r="N7" s="6">
        <v>20</v>
      </c>
      <c r="O7" s="7">
        <v>-152.07160970721401</v>
      </c>
      <c r="P7" s="7">
        <v>32.5600932885906</v>
      </c>
      <c r="Q7" s="7">
        <v>-152.71279866206001</v>
      </c>
      <c r="R7" s="7">
        <v>32.446019594594603</v>
      </c>
      <c r="S7" s="7">
        <v>61.4525197013011</v>
      </c>
      <c r="T7" s="7">
        <v>5.4054054054053999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158D-300B-2544-B9B3-D0EE08F8BD6B}">
  <dimension ref="A1:K31"/>
  <sheetViews>
    <sheetView zoomScale="200" zoomScaleNormal="200" workbookViewId="0">
      <pane xSplit="1" ySplit="1" topLeftCell="B5" activePane="bottomRight" state="frozenSplit"/>
      <selection pane="topRight" activeCell="E1" sqref="E1"/>
      <selection pane="bottomLeft" activeCell="A8" sqref="A8"/>
      <selection pane="bottomRight" activeCell="D4" sqref="D4"/>
    </sheetView>
  </sheetViews>
  <sheetFormatPr baseColWidth="10" defaultRowHeight="16" x14ac:dyDescent="0.2"/>
  <cols>
    <col min="1" max="1" width="20.33203125" customWidth="1"/>
    <col min="2" max="3" width="11.6640625" bestFit="1" customWidth="1"/>
    <col min="4" max="4" width="11" bestFit="1" customWidth="1"/>
    <col min="5" max="5" width="11.6640625" bestFit="1" customWidth="1"/>
    <col min="6" max="8" width="11.33203125" bestFit="1" customWidth="1"/>
    <col min="9" max="9" width="11" bestFit="1" customWidth="1"/>
    <col min="10" max="10" width="11.6640625" bestFit="1" customWidth="1"/>
  </cols>
  <sheetData>
    <row r="1" spans="1:11" ht="48" customHeight="1" x14ac:dyDescent="0.2"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44</v>
      </c>
    </row>
    <row r="2" spans="1:11" x14ac:dyDescent="0.2">
      <c r="A2" t="s">
        <v>1</v>
      </c>
    </row>
    <row r="3" spans="1:11" x14ac:dyDescent="0.2">
      <c r="A3" t="s">
        <v>2</v>
      </c>
      <c r="B3" s="1">
        <v>0.13024978173702301</v>
      </c>
      <c r="C3" s="1">
        <v>8.4573312786629995E-2</v>
      </c>
      <c r="D3" s="1">
        <v>4.5676468950392797E-2</v>
      </c>
      <c r="E3" s="1">
        <v>0.13292797246162599</v>
      </c>
      <c r="F3" s="1">
        <v>-2.6781907246037099E-3</v>
      </c>
      <c r="G3" s="1">
        <v>-1.07158845609392E-2</v>
      </c>
      <c r="H3" s="1">
        <v>8.0376938363355393E-3</v>
      </c>
      <c r="I3" s="1">
        <v>94.736842105263193</v>
      </c>
      <c r="J3" s="1">
        <v>78.947368421052602</v>
      </c>
      <c r="K3">
        <v>19</v>
      </c>
    </row>
    <row r="4" spans="1:11" x14ac:dyDescent="0.2">
      <c r="A4" t="s">
        <v>3</v>
      </c>
      <c r="B4" s="1">
        <v>123.90884996857901</v>
      </c>
      <c r="C4" s="1">
        <v>70.714190278105406</v>
      </c>
      <c r="D4" s="1">
        <v>53.194659690473202</v>
      </c>
      <c r="E4" s="1">
        <v>127.098684574638</v>
      </c>
      <c r="F4" s="1">
        <v>-3.18983460605918</v>
      </c>
      <c r="G4" s="1">
        <v>-6.3496205815761204</v>
      </c>
      <c r="H4" s="1">
        <v>3.15978597551694</v>
      </c>
      <c r="I4" s="1">
        <v>94.736842105263193</v>
      </c>
      <c r="J4" s="1">
        <v>52.631578947368403</v>
      </c>
      <c r="K4">
        <v>19</v>
      </c>
    </row>
    <row r="5" spans="1:11" x14ac:dyDescent="0.2">
      <c r="A5" t="s">
        <v>4</v>
      </c>
      <c r="B5" s="1">
        <v>4.80871871871872E-2</v>
      </c>
      <c r="C5" s="1">
        <v>2.1853402480947099E-2</v>
      </c>
      <c r="D5" s="1">
        <v>2.623378470624E-2</v>
      </c>
      <c r="E5" s="1">
        <v>4.9717718174534499E-2</v>
      </c>
      <c r="F5" s="1">
        <v>-1.63053098734734E-3</v>
      </c>
      <c r="G5" s="1">
        <v>-1.58109790501261E-2</v>
      </c>
      <c r="H5" s="1">
        <v>1.41804480627788E-2</v>
      </c>
      <c r="I5" s="1">
        <v>78.947368421052602</v>
      </c>
      <c r="J5" s="1">
        <v>73.684210526315795</v>
      </c>
      <c r="K5">
        <v>19</v>
      </c>
    </row>
    <row r="6" spans="1:11" x14ac:dyDescent="0.2">
      <c r="A6" t="s">
        <v>5</v>
      </c>
      <c r="B6" s="1">
        <v>18.5537548958219</v>
      </c>
      <c r="C6" s="1">
        <v>19.9353928812905</v>
      </c>
      <c r="D6" s="1">
        <v>-1.3816379854685801</v>
      </c>
      <c r="E6" s="1">
        <v>18.2023781725444</v>
      </c>
      <c r="F6" s="1">
        <v>0.35137672327748598</v>
      </c>
      <c r="G6" s="1">
        <v>0.15746198823018501</v>
      </c>
      <c r="H6" s="1">
        <v>0.193914735047301</v>
      </c>
      <c r="I6" s="1">
        <v>10.526315789473699</v>
      </c>
      <c r="J6" s="1">
        <v>57.894736842105303</v>
      </c>
      <c r="K6">
        <v>19</v>
      </c>
    </row>
    <row r="7" spans="1:11" x14ac:dyDescent="0.2">
      <c r="A7" t="s">
        <v>6</v>
      </c>
      <c r="B7" s="1"/>
      <c r="C7" s="1"/>
      <c r="D7" s="1"/>
      <c r="E7" s="1"/>
      <c r="F7" s="1"/>
      <c r="G7" s="1"/>
      <c r="H7" s="1"/>
      <c r="I7" s="1"/>
      <c r="J7" s="1"/>
    </row>
    <row r="8" spans="1:11" x14ac:dyDescent="0.2">
      <c r="A8" t="s">
        <v>2</v>
      </c>
      <c r="B8" s="1">
        <v>0.151482562260323</v>
      </c>
      <c r="C8" s="1">
        <v>9.0131258633609102E-2</v>
      </c>
      <c r="D8" s="1">
        <v>6.13513036267141E-2</v>
      </c>
      <c r="E8" s="1">
        <v>0.13292797246162599</v>
      </c>
      <c r="F8" s="1">
        <v>1.8554589798696799E-2</v>
      </c>
      <c r="G8" s="1">
        <v>-1.9448707024338301E-3</v>
      </c>
      <c r="H8" s="1">
        <v>2.0499460501130599E-2</v>
      </c>
      <c r="I8" s="1">
        <v>89.473684210526301</v>
      </c>
      <c r="J8" s="1">
        <v>78.947368421052602</v>
      </c>
      <c r="K8">
        <v>19</v>
      </c>
    </row>
    <row r="9" spans="1:11" x14ac:dyDescent="0.2">
      <c r="A9" t="s">
        <v>3</v>
      </c>
      <c r="B9" s="1">
        <v>145.522513745769</v>
      </c>
      <c r="C9" s="1">
        <v>57.513855814517697</v>
      </c>
      <c r="D9" s="1">
        <v>88.008657931251705</v>
      </c>
      <c r="E9" s="1">
        <v>127.098684574638</v>
      </c>
      <c r="F9" s="1">
        <v>18.423829171131601</v>
      </c>
      <c r="G9" s="1">
        <v>-17.783835612068501</v>
      </c>
      <c r="H9" s="1">
        <v>36.207664783200102</v>
      </c>
      <c r="I9" s="1">
        <v>94.736842105263193</v>
      </c>
      <c r="J9" s="1">
        <v>94.736842105263193</v>
      </c>
      <c r="K9">
        <v>19</v>
      </c>
    </row>
    <row r="10" spans="1:11" x14ac:dyDescent="0.2">
      <c r="A10" t="s">
        <v>4</v>
      </c>
      <c r="B10" s="1">
        <v>4.3049005486968397E-2</v>
      </c>
      <c r="C10" s="1">
        <v>1.50509097093008E-2</v>
      </c>
      <c r="D10" s="1">
        <v>2.7998095777667702E-2</v>
      </c>
      <c r="E10" s="1">
        <v>4.9717718174534499E-2</v>
      </c>
      <c r="F10" s="1">
        <v>-6.6687126875660798E-3</v>
      </c>
      <c r="G10" s="1">
        <v>-9.9622548457469502E-3</v>
      </c>
      <c r="H10" s="1">
        <v>3.2935421581808699E-3</v>
      </c>
      <c r="I10" s="1">
        <v>68.421052631579002</v>
      </c>
      <c r="J10" s="1">
        <v>57.894736842105303</v>
      </c>
      <c r="K10">
        <v>19</v>
      </c>
    </row>
    <row r="11" spans="1:11" x14ac:dyDescent="0.2">
      <c r="A11" t="s">
        <v>5</v>
      </c>
      <c r="B11" s="1">
        <v>18.318223934450799</v>
      </c>
      <c r="C11" s="1">
        <v>19.7951975390862</v>
      </c>
      <c r="D11" s="1">
        <v>-1.4769736046354101</v>
      </c>
      <c r="E11" s="1">
        <v>18.2023781725444</v>
      </c>
      <c r="F11" s="1">
        <v>0.115845761906435</v>
      </c>
      <c r="G11" s="1">
        <v>-4.7522142100110201E-2</v>
      </c>
      <c r="H11" s="1">
        <v>0.16336790400654499</v>
      </c>
      <c r="I11" s="1">
        <v>21.052631578947398</v>
      </c>
      <c r="J11" s="1">
        <v>52.631578947368403</v>
      </c>
      <c r="K11">
        <v>19</v>
      </c>
    </row>
    <row r="12" spans="1:11" x14ac:dyDescent="0.2">
      <c r="A12" s="4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4"/>
    </row>
    <row r="13" spans="1:11" x14ac:dyDescent="0.2">
      <c r="A13" s="4" t="s">
        <v>2</v>
      </c>
      <c r="B13" s="5">
        <v>6.8032614557824403E-2</v>
      </c>
      <c r="C13" s="5">
        <v>6.0967128626907202E-2</v>
      </c>
      <c r="D13" s="5">
        <v>7.0654859309171904E-3</v>
      </c>
      <c r="E13" s="5">
        <v>0.13292797246162599</v>
      </c>
      <c r="F13" s="5">
        <v>-6.4895357903802103E-2</v>
      </c>
      <c r="G13" s="5">
        <v>-3.3397456869772198E-2</v>
      </c>
      <c r="H13" s="5">
        <v>-3.1497901034029899E-2</v>
      </c>
      <c r="I13" s="5">
        <v>83.3333333333333</v>
      </c>
      <c r="J13" s="5">
        <v>5.5555555555555598</v>
      </c>
      <c r="K13" s="4">
        <v>18</v>
      </c>
    </row>
    <row r="14" spans="1:11" x14ac:dyDescent="0.2">
      <c r="A14" s="4" t="s">
        <v>3</v>
      </c>
      <c r="B14" s="5">
        <v>32.070984464732803</v>
      </c>
      <c r="C14" s="5">
        <v>34.151913385829701</v>
      </c>
      <c r="D14" s="5">
        <v>-2.0809289210969601</v>
      </c>
      <c r="E14" s="5">
        <v>127.098684574638</v>
      </c>
      <c r="F14" s="5">
        <v>-95.027700109904998</v>
      </c>
      <c r="G14" s="5">
        <v>-40.890351574805699</v>
      </c>
      <c r="H14" s="5">
        <v>-54.137348535099399</v>
      </c>
      <c r="I14" s="5">
        <v>38.8888888888889</v>
      </c>
      <c r="J14" s="5">
        <v>0</v>
      </c>
      <c r="K14" s="4">
        <v>18</v>
      </c>
    </row>
    <row r="15" spans="1:11" x14ac:dyDescent="0.2">
      <c r="A15" s="4" t="s">
        <v>4</v>
      </c>
      <c r="B15" s="5">
        <v>0.16338024691358</v>
      </c>
      <c r="C15" s="5">
        <v>1.6541538836491902E-2</v>
      </c>
      <c r="D15" s="5">
        <v>0.14683870807708799</v>
      </c>
      <c r="E15" s="5">
        <v>4.9717718174534499E-2</v>
      </c>
      <c r="F15" s="5">
        <v>0.113662528739046</v>
      </c>
      <c r="G15" s="5">
        <v>-5.0432977332870799E-3</v>
      </c>
      <c r="H15" s="5">
        <v>0.11870582647233301</v>
      </c>
      <c r="I15" s="5">
        <v>94.4444444444444</v>
      </c>
      <c r="J15" s="5">
        <v>100</v>
      </c>
      <c r="K15" s="4">
        <v>18</v>
      </c>
    </row>
    <row r="16" spans="1:11" x14ac:dyDescent="0.2">
      <c r="A16" s="4" t="s">
        <v>5</v>
      </c>
      <c r="B16" s="5">
        <v>23.523185425685401</v>
      </c>
      <c r="C16" s="5">
        <v>24.545270065878</v>
      </c>
      <c r="D16" s="5">
        <v>-1.0220846401925801</v>
      </c>
      <c r="E16" s="5">
        <v>18.2023781725444</v>
      </c>
      <c r="F16" s="5">
        <v>5.32080725314104</v>
      </c>
      <c r="G16" s="5">
        <v>4.8789708525061997</v>
      </c>
      <c r="H16" s="5">
        <v>0.44183640063483798</v>
      </c>
      <c r="I16" s="5">
        <v>11.1111111111111</v>
      </c>
      <c r="J16" s="5">
        <v>66.6666666666667</v>
      </c>
      <c r="K16" s="4">
        <v>18</v>
      </c>
    </row>
    <row r="17" spans="1:11" x14ac:dyDescent="0.2">
      <c r="A17" t="s">
        <v>8</v>
      </c>
      <c r="B17" s="1"/>
      <c r="C17" s="1"/>
      <c r="D17" s="1"/>
      <c r="E17" s="1"/>
      <c r="F17" s="1"/>
      <c r="G17" s="1"/>
      <c r="H17" s="1"/>
      <c r="I17" s="1"/>
      <c r="J17" s="1"/>
    </row>
    <row r="18" spans="1:11" x14ac:dyDescent="0.2">
      <c r="A18" t="s">
        <v>2</v>
      </c>
      <c r="B18" s="1">
        <v>0.15283448471892999</v>
      </c>
      <c r="C18" s="1">
        <v>0.116188844486912</v>
      </c>
      <c r="D18" s="1">
        <v>3.6645640232018703E-2</v>
      </c>
      <c r="E18" s="1">
        <v>0.13292797246162599</v>
      </c>
      <c r="F18" s="1">
        <v>1.9906512257303902E-2</v>
      </c>
      <c r="G18" s="1">
        <v>1.84289170019209E-2</v>
      </c>
      <c r="H18" s="1">
        <v>1.4775952553829799E-3</v>
      </c>
      <c r="I18" s="1">
        <v>90</v>
      </c>
      <c r="J18" s="1">
        <v>70</v>
      </c>
      <c r="K18">
        <v>20</v>
      </c>
    </row>
    <row r="19" spans="1:11" x14ac:dyDescent="0.2">
      <c r="A19" t="s">
        <v>3</v>
      </c>
      <c r="B19" s="1">
        <v>125.17046614776601</v>
      </c>
      <c r="C19" s="1">
        <v>86.277534563642305</v>
      </c>
      <c r="D19" s="1">
        <v>38.892931584123701</v>
      </c>
      <c r="E19" s="1">
        <v>127.098684574638</v>
      </c>
      <c r="F19" s="1">
        <v>-1.9282184268718101</v>
      </c>
      <c r="G19" s="1">
        <v>10.36881487394</v>
      </c>
      <c r="H19" s="1">
        <v>-12.297033300811799</v>
      </c>
      <c r="I19" s="1">
        <v>95</v>
      </c>
      <c r="J19" s="1">
        <v>5</v>
      </c>
      <c r="K19">
        <v>20</v>
      </c>
    </row>
    <row r="20" spans="1:11" x14ac:dyDescent="0.2">
      <c r="A20" t="s">
        <v>4</v>
      </c>
      <c r="B20" s="1">
        <v>5.20586809116809E-2</v>
      </c>
      <c r="C20" s="1">
        <v>3.6073251628859701E-2</v>
      </c>
      <c r="D20" s="1">
        <v>1.59854292828213E-2</v>
      </c>
      <c r="E20" s="1">
        <v>4.9717718174534499E-2</v>
      </c>
      <c r="F20" s="1">
        <v>2.3409627371464201E-3</v>
      </c>
      <c r="G20" s="1">
        <v>3.6341993846388302E-3</v>
      </c>
      <c r="H20" s="1">
        <v>-1.2932366474924101E-3</v>
      </c>
      <c r="I20" s="1">
        <v>70</v>
      </c>
      <c r="J20" s="1">
        <v>50</v>
      </c>
      <c r="K20">
        <v>20</v>
      </c>
    </row>
    <row r="21" spans="1:11" x14ac:dyDescent="0.2">
      <c r="A21" t="s">
        <v>5</v>
      </c>
      <c r="B21" s="1">
        <v>17.703895600939902</v>
      </c>
      <c r="C21" s="1">
        <v>18.490038010389998</v>
      </c>
      <c r="D21" s="1">
        <v>-0.78614240945005798</v>
      </c>
      <c r="E21" s="1">
        <v>18.2023781725444</v>
      </c>
      <c r="F21" s="1">
        <v>-0.49848257160445197</v>
      </c>
      <c r="G21" s="1">
        <v>-0.89766311399435705</v>
      </c>
      <c r="H21" s="1">
        <v>0.39918054238990502</v>
      </c>
      <c r="I21" s="1">
        <v>15</v>
      </c>
      <c r="J21" s="1">
        <v>80</v>
      </c>
      <c r="K21">
        <v>20</v>
      </c>
    </row>
    <row r="22" spans="1:11" x14ac:dyDescent="0.2">
      <c r="A22" t="s">
        <v>9</v>
      </c>
      <c r="B22" s="1"/>
      <c r="C22" s="1"/>
      <c r="D22" s="1"/>
      <c r="E22" s="1"/>
      <c r="F22" s="1"/>
      <c r="G22" s="1"/>
      <c r="H22" s="1"/>
      <c r="I22" s="1"/>
      <c r="J22" s="1"/>
    </row>
    <row r="23" spans="1:11" x14ac:dyDescent="0.2">
      <c r="A23" t="s">
        <v>2</v>
      </c>
      <c r="B23" s="1">
        <v>9.3519247667393002E-2</v>
      </c>
      <c r="C23" s="1">
        <v>9.8813600943410407E-2</v>
      </c>
      <c r="D23" s="1">
        <v>-5.2943532760173903E-3</v>
      </c>
      <c r="E23" s="1">
        <v>0.13292797246162599</v>
      </c>
      <c r="F23" s="1">
        <v>-3.9408724794233498E-2</v>
      </c>
      <c r="G23" s="1">
        <v>1.3593812646028999E-3</v>
      </c>
      <c r="H23" s="1">
        <v>-4.0768106058836399E-2</v>
      </c>
      <c r="I23" s="1">
        <v>31.578947368421002</v>
      </c>
      <c r="J23" s="1">
        <v>0</v>
      </c>
      <c r="K23">
        <v>19</v>
      </c>
    </row>
    <row r="24" spans="1:11" x14ac:dyDescent="0.2">
      <c r="A24" t="s">
        <v>3</v>
      </c>
      <c r="B24" s="1">
        <v>96.387648854513003</v>
      </c>
      <c r="C24" s="1">
        <v>78.532786802799706</v>
      </c>
      <c r="D24" s="1">
        <v>17.8548620517134</v>
      </c>
      <c r="E24" s="1">
        <v>127.098684574638</v>
      </c>
      <c r="F24" s="1">
        <v>-30.711035720124801</v>
      </c>
      <c r="G24" s="1">
        <v>5.1085804847073497</v>
      </c>
      <c r="H24" s="1">
        <v>-35.819616204832201</v>
      </c>
      <c r="I24" s="1">
        <v>73.684210526315795</v>
      </c>
      <c r="J24" s="1">
        <v>10.526315789473699</v>
      </c>
      <c r="K24">
        <v>19</v>
      </c>
    </row>
    <row r="25" spans="1:11" x14ac:dyDescent="0.2">
      <c r="A25" t="s">
        <v>4</v>
      </c>
      <c r="B25" s="1">
        <v>5.5754398148148199E-2</v>
      </c>
      <c r="C25" s="1">
        <v>3.0004553469119701E-2</v>
      </c>
      <c r="D25" s="1">
        <v>2.5749844679028501E-2</v>
      </c>
      <c r="E25" s="1">
        <v>4.9717718174534499E-2</v>
      </c>
      <c r="F25" s="1">
        <v>6.0366799736136303E-3</v>
      </c>
      <c r="G25" s="1">
        <v>1.36161192042333E-3</v>
      </c>
      <c r="H25" s="1">
        <v>4.6750680531903004E-3</v>
      </c>
      <c r="I25" s="1">
        <v>73.684210526315795</v>
      </c>
      <c r="J25" s="1">
        <v>63.157894736842103</v>
      </c>
      <c r="K25">
        <v>19</v>
      </c>
    </row>
    <row r="26" spans="1:11" x14ac:dyDescent="0.2">
      <c r="A26" t="s">
        <v>5</v>
      </c>
      <c r="B26" s="1">
        <v>19.303499792358799</v>
      </c>
      <c r="C26" s="1">
        <v>19.601951175213699</v>
      </c>
      <c r="D26" s="1">
        <v>-0.298451382854861</v>
      </c>
      <c r="E26" s="1">
        <v>18.2023781725444</v>
      </c>
      <c r="F26" s="1">
        <v>1.10112161981442</v>
      </c>
      <c r="G26" s="1">
        <v>0.31262235960845097</v>
      </c>
      <c r="H26" s="1">
        <v>0.78849926020597405</v>
      </c>
      <c r="I26" s="1">
        <v>47.368421052631597</v>
      </c>
      <c r="J26" s="1">
        <v>84.210526315789494</v>
      </c>
      <c r="K26">
        <v>19</v>
      </c>
    </row>
    <row r="27" spans="1:11" x14ac:dyDescent="0.2">
      <c r="A27" s="6" t="s">
        <v>10</v>
      </c>
      <c r="B27" s="7"/>
      <c r="C27" s="7"/>
      <c r="D27" s="7"/>
      <c r="E27" s="7"/>
      <c r="F27" s="7"/>
      <c r="G27" s="7"/>
      <c r="H27" s="7"/>
      <c r="I27" s="7"/>
      <c r="J27" s="7"/>
      <c r="K27" s="6"/>
    </row>
    <row r="28" spans="1:11" x14ac:dyDescent="0.2">
      <c r="A28" s="6" t="s">
        <v>2</v>
      </c>
      <c r="B28" s="7">
        <v>0.140674212497613</v>
      </c>
      <c r="C28" s="7">
        <v>0.108755499205774</v>
      </c>
      <c r="D28" s="7">
        <v>3.1918713291838798E-2</v>
      </c>
      <c r="E28" s="7">
        <v>0.13292797246162599</v>
      </c>
      <c r="F28" s="7">
        <v>7.7462400359861704E-3</v>
      </c>
      <c r="G28" s="7">
        <v>1.1688217802456E-2</v>
      </c>
      <c r="H28" s="7">
        <v>-3.9419777664697897E-3</v>
      </c>
      <c r="I28" s="7">
        <v>88.8888888888889</v>
      </c>
      <c r="J28" s="7">
        <v>33.3333333333333</v>
      </c>
      <c r="K28" s="6">
        <v>18</v>
      </c>
    </row>
    <row r="29" spans="1:11" x14ac:dyDescent="0.2">
      <c r="A29" s="6" t="s">
        <v>3</v>
      </c>
      <c r="B29" s="7">
        <v>136.951013327596</v>
      </c>
      <c r="C29" s="7">
        <v>100.180155028523</v>
      </c>
      <c r="D29" s="7">
        <v>36.770858299072401</v>
      </c>
      <c r="E29" s="7">
        <v>127.098684574638</v>
      </c>
      <c r="F29" s="7">
        <v>9.8523287529578898</v>
      </c>
      <c r="G29" s="7">
        <v>18.3200695950183</v>
      </c>
      <c r="H29" s="7">
        <v>-8.4677408420603992</v>
      </c>
      <c r="I29" s="7">
        <v>83.3333333333333</v>
      </c>
      <c r="J29" s="7">
        <v>38.8888888888889</v>
      </c>
      <c r="K29" s="6">
        <v>18</v>
      </c>
    </row>
    <row r="30" spans="1:11" x14ac:dyDescent="0.2">
      <c r="A30" s="6" t="s">
        <v>4</v>
      </c>
      <c r="B30" s="7">
        <v>5.5564639639639597E-2</v>
      </c>
      <c r="C30" s="7">
        <v>4.3271126527928402E-2</v>
      </c>
      <c r="D30" s="7">
        <v>1.22935131117112E-2</v>
      </c>
      <c r="E30" s="7">
        <v>4.9717718174534499E-2</v>
      </c>
      <c r="F30" s="7">
        <v>5.8469214651051104E-3</v>
      </c>
      <c r="G30" s="7">
        <v>2.0480470989963501E-2</v>
      </c>
      <c r="H30" s="7">
        <v>-1.4633549524858401E-2</v>
      </c>
      <c r="I30" s="7">
        <v>66.6666666666667</v>
      </c>
      <c r="J30" s="7">
        <v>16.6666666666667</v>
      </c>
      <c r="K30" s="6">
        <v>18</v>
      </c>
    </row>
    <row r="31" spans="1:11" x14ac:dyDescent="0.2">
      <c r="A31" s="6" t="s">
        <v>5</v>
      </c>
      <c r="B31" s="7">
        <v>17.9040800251543</v>
      </c>
      <c r="C31" s="7">
        <v>18.348464495756399</v>
      </c>
      <c r="D31" s="7">
        <v>-0.44438447060213399</v>
      </c>
      <c r="E31" s="7">
        <v>18.2023781725444</v>
      </c>
      <c r="F31" s="7">
        <v>-0.29829814739008498</v>
      </c>
      <c r="G31" s="7">
        <v>-0.96972571015879405</v>
      </c>
      <c r="H31" s="7">
        <v>0.67142756276870896</v>
      </c>
      <c r="I31" s="7">
        <v>22.2222222222222</v>
      </c>
      <c r="J31" s="7">
        <v>83.3333333333333</v>
      </c>
      <c r="K31" s="6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interactions</vt:lpstr>
      <vt:lpstr>rate spatial</vt:lpstr>
      <vt:lpstr>ocean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Stockton</cp:lastModifiedBy>
  <dcterms:modified xsi:type="dcterms:W3CDTF">2026-08-28T04:28:44Z</dcterms:modified>
</cp:coreProperties>
</file>